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dscouto/Downloads/"/>
    </mc:Choice>
  </mc:AlternateContent>
  <xr:revisionPtr revIDLastSave="0" documentId="13_ncr:1_{8D8548F9-2496-A846-8E08-692964FA0CA5}" xr6:coauthVersionLast="47" xr6:coauthVersionMax="47" xr10:uidLastSave="{00000000-0000-0000-0000-000000000000}"/>
  <bookViews>
    <workbookView xWindow="13960" yWindow="660" windowWidth="20600" windowHeight="19780" xr2:uid="{E8E89A00-E731-B842-8F3D-B95B374FE6BD}"/>
  </bookViews>
  <sheets>
    <sheet name="App" sheetId="1" r:id="rId1"/>
    <sheet name="Base" sheetId="2" r:id="rId2"/>
  </sheets>
  <externalReferences>
    <externalReference r:id="rId3"/>
  </externalReferences>
  <definedNames>
    <definedName name="aporte">App!$D$17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D36" i="1"/>
  <c r="D37" i="1"/>
  <c r="D38" i="1"/>
  <c r="D39" i="1"/>
  <c r="D34" i="1"/>
  <c r="C35" i="1"/>
  <c r="C36" i="1"/>
  <c r="C37" i="1"/>
  <c r="C38" i="1"/>
  <c r="C39" i="1"/>
  <c r="C34" i="1"/>
  <c r="D40" i="1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I4" i="2" s="1"/>
  <c r="G17" i="1"/>
  <c r="C27" i="1"/>
  <c r="D27" i="1" s="1"/>
  <c r="C26" i="1"/>
  <c r="D26" i="1" s="1"/>
  <c r="C25" i="1"/>
  <c r="D25" i="1" s="1"/>
  <c r="C24" i="1"/>
  <c r="D24" i="1" s="1"/>
  <c r="C23" i="1"/>
  <c r="D23" i="1" s="1"/>
  <c r="C18" i="1"/>
  <c r="C19" i="1" s="1"/>
</calcChain>
</file>

<file path=xl/sharedStrings.xml><?xml version="1.0" encoding="utf-8"?>
<sst xmlns="http://schemas.openxmlformats.org/spreadsheetml/2006/main" count="66" uniqueCount="29">
  <si>
    <t>Quanto investir por mês?</t>
  </si>
  <si>
    <t>Taxa de rendimento ao mês</t>
  </si>
  <si>
    <t>INVESTIMENTO MENSAL</t>
  </si>
  <si>
    <t>Patrimônio acumulado</t>
  </si>
  <si>
    <t>Dividendos mensais</t>
  </si>
  <si>
    <t>Por quanto tempo investir? (em anos)</t>
  </si>
  <si>
    <t>Cenários (em anos)</t>
  </si>
  <si>
    <t>Dividendo</t>
  </si>
  <si>
    <t>Configurações</t>
  </si>
  <si>
    <t>Salário</t>
  </si>
  <si>
    <t>Rendimentos Carteira</t>
  </si>
  <si>
    <t>Sugestão de investimento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</si>
  <si>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</si>
  <si>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</si>
  <si>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</si>
  <si>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</si>
  <si>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</si>
  <si>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</si>
  <si>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</si>
  <si>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</si>
  <si>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</si>
  <si>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</si>
  <si>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</si>
  <si>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</si>
  <si>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</si>
  <si>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</si>
  <si>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</si>
  <si>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Moderado-TIJOLO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</si>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</sst>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20"/>
      <color theme="0"/>
      <name val="Aptos Narrow"/>
      <scheme val="minor"/>
    </font>
    <font>
      <b/>
      <sz val="14"/>
      <color theme="0"/>
      <name val="Aptos Narrow"/>
      <scheme val="minor"/>
    </font>
    <font>
      <sz val="12"/>
      <color rgb="FF9C57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ashed">
        <color theme="0" tint="-0.24994659260841701"/>
      </right>
      <top/>
      <bottom style="dashed">
        <color theme="0" tint="-0.24994659260841701"/>
      </bottom>
      <diagonal/>
    </border>
    <border>
      <left style="dashed">
        <color theme="0" tint="-0.24994659260841701"/>
      </left>
      <right style="medium">
        <color indexed="64"/>
      </right>
      <top/>
      <bottom style="dashed">
        <color theme="0" tint="-0.24994659260841701"/>
      </bottom>
      <diagonal/>
    </border>
    <border>
      <left style="medium">
        <color indexed="64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medium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medium">
        <color indexed="64"/>
      </left>
      <right style="dashed">
        <color theme="0" tint="-0.24994659260841701"/>
      </right>
      <top style="dashed">
        <color theme="0" tint="-0.24994659260841701"/>
      </top>
      <bottom style="medium">
        <color indexed="64"/>
      </bottom>
      <diagonal/>
    </border>
    <border>
      <left style="dashed">
        <color theme="0" tint="-0.24994659260841701"/>
      </left>
      <right style="medium">
        <color indexed="64"/>
      </right>
      <top style="dashed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dashed">
        <color theme="0" tint="-0.24994659260841701"/>
      </right>
      <top/>
      <bottom style="medium">
        <color indexed="64"/>
      </bottom>
      <diagonal/>
    </border>
    <border>
      <left style="dashed">
        <color theme="0" tint="-0.24994659260841701"/>
      </left>
      <right style="dashed">
        <color theme="0" tint="-0.24994659260841701"/>
      </right>
      <top/>
      <bottom style="dashed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6">
    <xf numFmtId="0" fontId="0" fillId="0" borderId="0" xfId="0"/>
    <xf numFmtId="0" fontId="2" fillId="0" borderId="3" xfId="0" applyFont="1" applyBorder="1"/>
    <xf numFmtId="0" fontId="2" fillId="0" borderId="5" xfId="0" applyFont="1" applyBorder="1"/>
    <xf numFmtId="0" fontId="3" fillId="3" borderId="5" xfId="0" applyFont="1" applyFill="1" applyBorder="1"/>
    <xf numFmtId="0" fontId="3" fillId="3" borderId="7" xfId="0" applyFont="1" applyFill="1" applyBorder="1"/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0" fontId="4" fillId="0" borderId="6" xfId="0" applyNumberFormat="1" applyFont="1" applyBorder="1" applyAlignment="1">
      <alignment horizontal="center" vertical="center"/>
    </xf>
    <xf numFmtId="164" fontId="4" fillId="0" borderId="4" xfId="1" applyNumberFormat="1" applyFont="1" applyBorder="1" applyAlignment="1">
      <alignment horizontal="center"/>
    </xf>
    <xf numFmtId="8" fontId="4" fillId="3" borderId="6" xfId="0" applyNumberFormat="1" applyFont="1" applyFill="1" applyBorder="1" applyAlignment="1">
      <alignment horizontal="center" vertical="center"/>
    </xf>
    <xf numFmtId="8" fontId="4" fillId="3" borderId="8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4" fillId="0" borderId="10" xfId="1" applyNumberFormat="1" applyFont="1" applyBorder="1" applyAlignment="1">
      <alignment horizontal="center"/>
    </xf>
    <xf numFmtId="164" fontId="0" fillId="0" borderId="4" xfId="0" applyNumberFormat="1" applyBorder="1"/>
    <xf numFmtId="164" fontId="4" fillId="0" borderId="11" xfId="1" applyNumberFormat="1" applyFont="1" applyBorder="1" applyAlignment="1">
      <alignment horizontal="center"/>
    </xf>
    <xf numFmtId="164" fontId="0" fillId="0" borderId="6" xfId="0" applyNumberFormat="1" applyBorder="1"/>
    <xf numFmtId="164" fontId="4" fillId="0" borderId="12" xfId="1" applyNumberFormat="1" applyFont="1" applyBorder="1" applyAlignment="1">
      <alignment horizontal="center"/>
    </xf>
    <xf numFmtId="164" fontId="0" fillId="0" borderId="8" xfId="0" applyNumberFormat="1" applyBorder="1"/>
    <xf numFmtId="0" fontId="6" fillId="2" borderId="14" xfId="0" applyFont="1" applyFill="1" applyBorder="1" applyAlignment="1">
      <alignment vertical="center"/>
    </xf>
    <xf numFmtId="10" fontId="4" fillId="0" borderId="6" xfId="2" applyNumberFormat="1" applyFont="1" applyBorder="1" applyAlignment="1">
      <alignment horizontal="center"/>
    </xf>
    <xf numFmtId="164" fontId="4" fillId="0" borderId="8" xfId="1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7" fillId="5" borderId="0" xfId="3"/>
    <xf numFmtId="0" fontId="7" fillId="5" borderId="0" xfId="3" applyAlignment="1">
      <alignment horizontal="center"/>
    </xf>
    <xf numFmtId="0" fontId="9" fillId="6" borderId="0" xfId="0" applyFont="1" applyFill="1"/>
    <xf numFmtId="164" fontId="9" fillId="6" borderId="0" xfId="1" applyNumberFormat="1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4" fontId="0" fillId="6" borderId="0" xfId="0" applyNumberFormat="1" applyFill="1" applyAlignment="1">
      <alignment horizontal="center"/>
    </xf>
    <xf numFmtId="0" fontId="9" fillId="7" borderId="0" xfId="0" applyFont="1" applyFill="1"/>
    <xf numFmtId="164" fontId="9" fillId="7" borderId="0" xfId="0" applyNumberFormat="1" applyFont="1" applyFill="1" applyAlignment="1">
      <alignment horizontal="center"/>
    </xf>
    <xf numFmtId="0" fontId="10" fillId="8" borderId="0" xfId="0" applyFont="1" applyFill="1"/>
    <xf numFmtId="0" fontId="10" fillId="8" borderId="0" xfId="0" applyFont="1" applyFill="1" applyAlignment="1">
      <alignment horizontal="center"/>
    </xf>
    <xf numFmtId="9" fontId="8" fillId="5" borderId="0" xfId="2" applyFont="1" applyFill="1"/>
    <xf numFmtId="0" fontId="0" fillId="0" borderId="15" xfId="0" applyBorder="1"/>
    <xf numFmtId="0" fontId="0" fillId="0" borderId="15" xfId="0" applyBorder="1" applyAlignment="1">
      <alignment horizontal="center"/>
    </xf>
    <xf numFmtId="9" fontId="0" fillId="0" borderId="15" xfId="0" applyNumberFormat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9" fontId="0" fillId="9" borderId="0" xfId="0" applyNumberFormat="1" applyFill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[1]APP!$C$35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3D-C041-8594-A0955298AA2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3D-C041-8594-A0955298AA2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83D-C041-8594-A0955298AA2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83D-C041-8594-A0955298AA2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83D-C041-8594-A0955298AA2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83D-C041-8594-A0955298AA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[1]APP!$C$36:$C$41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83D-C041-8594-A0955298A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547006</xdr:colOff>
      <xdr:row>11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9010725-6880-194B-BD69-A6DDE95071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0" y="0"/>
          <a:ext cx="10707006" cy="2311400"/>
        </a:xfrm>
        <a:prstGeom prst="rect">
          <a:avLst/>
        </a:prstGeom>
      </xdr:spPr>
    </xdr:pic>
    <xdr:clientData/>
  </xdr:twoCellAnchor>
  <xdr:twoCellAnchor>
    <xdr:from>
      <xdr:col>5</xdr:col>
      <xdr:colOff>342900</xdr:colOff>
      <xdr:row>28</xdr:row>
      <xdr:rowOff>63500</xdr:rowOff>
    </xdr:from>
    <xdr:to>
      <xdr:col>10</xdr:col>
      <xdr:colOff>157184</xdr:colOff>
      <xdr:row>40</xdr:row>
      <xdr:rowOff>114507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82DD7C5-6193-014F-8532-22F9D5FC7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ndscouto/Downloads/a04b81b1-8e35-4e72-aeb9-98aed8ed4403.xlsx" TargetMode="External"/><Relationship Id="rId1" Type="http://schemas.openxmlformats.org/officeDocument/2006/relationships/externalLinkPath" Target="a04b81b1-8e35-4e72-aeb9-98aed8ed44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"/>
      <sheetName val="Planilha2"/>
    </sheetNames>
    <sheetDataSet>
      <sheetData sheetId="0">
        <row r="35">
          <cell r="C35" t="str">
            <v>Percentual Sugerido</v>
          </cell>
        </row>
        <row r="36">
          <cell r="B36" t="str">
            <v>PAPEL</v>
          </cell>
          <cell r="C36">
            <v>0.32</v>
          </cell>
        </row>
        <row r="37">
          <cell r="B37" t="str">
            <v>TIJOLO</v>
          </cell>
          <cell r="C37">
            <v>0.35</v>
          </cell>
        </row>
        <row r="38">
          <cell r="B38" t="str">
            <v>HÍBRIDOS</v>
          </cell>
          <cell r="C38">
            <v>0.08</v>
          </cell>
        </row>
        <row r="39">
          <cell r="B39" t="str">
            <v>FOFs</v>
          </cell>
          <cell r="C39">
            <v>0.05</v>
          </cell>
        </row>
        <row r="40">
          <cell r="B40" t="str">
            <v>DESENVOLVIMENTO</v>
          </cell>
          <cell r="C40">
            <v>0.1</v>
          </cell>
        </row>
        <row r="41">
          <cell r="B41" t="str">
            <v>HOTELARIAS</v>
          </cell>
          <cell r="C41">
            <v>0.1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FD040-02C1-5D41-AFE5-F23047A940E6}">
  <dimension ref="B13:G40"/>
  <sheetViews>
    <sheetView showGridLines="0" tabSelected="1" topLeftCell="A9" workbookViewId="0">
      <selection activeCell="E36" sqref="E36"/>
    </sheetView>
  </sheetViews>
  <sheetFormatPr baseColWidth="10" defaultRowHeight="16" x14ac:dyDescent="0.2"/>
  <cols>
    <col min="2" max="2" width="36.33203125" bestFit="1" customWidth="1"/>
    <col min="3" max="3" width="24.1640625" style="5" customWidth="1"/>
    <col min="4" max="4" width="11.6640625" bestFit="1" customWidth="1"/>
    <col min="6" max="6" width="25.33203125" bestFit="1" customWidth="1"/>
    <col min="7" max="7" width="14.1640625" customWidth="1"/>
    <col min="8" max="8" width="18.6640625" customWidth="1"/>
  </cols>
  <sheetData>
    <row r="13" spans="2:7" ht="17" thickBot="1" x14ac:dyDescent="0.25"/>
    <row r="14" spans="2:7" ht="27" x14ac:dyDescent="0.2">
      <c r="B14" s="22" t="s">
        <v>2</v>
      </c>
      <c r="C14" s="23"/>
      <c r="F14" s="25" t="s">
        <v>8</v>
      </c>
      <c r="G14" s="26"/>
    </row>
    <row r="15" spans="2:7" ht="19" x14ac:dyDescent="0.25">
      <c r="B15" s="1" t="s">
        <v>0</v>
      </c>
      <c r="C15" s="8">
        <v>500</v>
      </c>
      <c r="F15" s="11" t="s">
        <v>9</v>
      </c>
      <c r="G15" s="8">
        <v>5000</v>
      </c>
    </row>
    <row r="16" spans="2:7" ht="19" x14ac:dyDescent="0.25">
      <c r="B16" s="2" t="s">
        <v>5</v>
      </c>
      <c r="C16" s="6">
        <v>5</v>
      </c>
      <c r="F16" s="11" t="s">
        <v>10</v>
      </c>
      <c r="G16" s="20">
        <v>1.0789999999999999E-2</v>
      </c>
    </row>
    <row r="17" spans="2:7" ht="20" thickBot="1" x14ac:dyDescent="0.3">
      <c r="B17" s="2" t="s">
        <v>1</v>
      </c>
      <c r="C17" s="7">
        <v>1.0789999999999999E-2</v>
      </c>
      <c r="F17" s="12" t="s">
        <v>11</v>
      </c>
      <c r="G17" s="21">
        <f>G15*30%</f>
        <v>1500</v>
      </c>
    </row>
    <row r="18" spans="2:7" ht="19" x14ac:dyDescent="0.25">
      <c r="B18" s="3" t="s">
        <v>3</v>
      </c>
      <c r="C18" s="9">
        <f>FV($C$17,$C$16*12,$C$15)*-1</f>
        <v>41888.456999243819</v>
      </c>
    </row>
    <row r="19" spans="2:7" ht="20" thickBot="1" x14ac:dyDescent="0.3">
      <c r="B19" s="4" t="s">
        <v>4</v>
      </c>
      <c r="C19" s="10">
        <f>$C$18*$C$17</f>
        <v>451.97645102184077</v>
      </c>
    </row>
    <row r="21" spans="2:7" ht="17" thickBot="1" x14ac:dyDescent="0.25"/>
    <row r="22" spans="2:7" ht="27" x14ac:dyDescent="0.2">
      <c r="B22" s="22" t="s">
        <v>6</v>
      </c>
      <c r="C22" s="24"/>
      <c r="D22" s="19" t="s">
        <v>7</v>
      </c>
    </row>
    <row r="23" spans="2:7" ht="19" x14ac:dyDescent="0.25">
      <c r="B23" s="11">
        <v>2</v>
      </c>
      <c r="C23" s="13">
        <f>FV($C$17,B23*12,$C$15)*-1</f>
        <v>13613.813648822608</v>
      </c>
      <c r="D23" s="14">
        <f>C23*G16</f>
        <v>146.89304927079593</v>
      </c>
    </row>
    <row r="24" spans="2:7" ht="19" x14ac:dyDescent="0.25">
      <c r="B24" s="11">
        <v>5</v>
      </c>
      <c r="C24" s="15">
        <f t="shared" ref="C24:C27" si="0">FV($C$17,B24*12,$C$15)*-1</f>
        <v>41888.456999243819</v>
      </c>
      <c r="D24" s="16">
        <f t="shared" ref="D24:D27" si="1">C24*1%</f>
        <v>418.88456999243817</v>
      </c>
    </row>
    <row r="25" spans="2:7" ht="19" x14ac:dyDescent="0.25">
      <c r="B25" s="11">
        <v>10</v>
      </c>
      <c r="C25" s="15">
        <f t="shared" si="0"/>
        <v>121642.1062650861</v>
      </c>
      <c r="D25" s="16">
        <f t="shared" si="1"/>
        <v>1216.4210626508609</v>
      </c>
    </row>
    <row r="26" spans="2:7" ht="19" x14ac:dyDescent="0.25">
      <c r="B26" s="11">
        <v>20</v>
      </c>
      <c r="C26" s="15">
        <f t="shared" si="0"/>
        <v>562599.20004854025</v>
      </c>
      <c r="D26" s="16">
        <f t="shared" si="1"/>
        <v>5625.992000485403</v>
      </c>
    </row>
    <row r="27" spans="2:7" ht="20" thickBot="1" x14ac:dyDescent="0.3">
      <c r="B27" s="12">
        <v>30</v>
      </c>
      <c r="C27" s="17">
        <f t="shared" si="0"/>
        <v>2161084.8275023573</v>
      </c>
      <c r="D27" s="18">
        <f t="shared" si="1"/>
        <v>21610.848275023574</v>
      </c>
    </row>
    <row r="30" spans="2:7" x14ac:dyDescent="0.2">
      <c r="B30" s="27" t="s">
        <v>12</v>
      </c>
      <c r="C30" s="28" t="s">
        <v>13</v>
      </c>
      <c r="D30" s="27"/>
    </row>
    <row r="31" spans="2:7" x14ac:dyDescent="0.2">
      <c r="B31" s="29" t="s">
        <v>14</v>
      </c>
      <c r="C31" s="30">
        <v>350</v>
      </c>
      <c r="D31" s="29"/>
    </row>
    <row r="32" spans="2:7" x14ac:dyDescent="0.2">
      <c r="C32"/>
    </row>
    <row r="33" spans="2:4" x14ac:dyDescent="0.2">
      <c r="B33" s="31" t="s">
        <v>15</v>
      </c>
      <c r="C33" s="31" t="s">
        <v>16</v>
      </c>
      <c r="D33" s="31" t="s">
        <v>17</v>
      </c>
    </row>
    <row r="34" spans="2:4" x14ac:dyDescent="0.2">
      <c r="B34" s="32" t="s">
        <v>18</v>
      </c>
      <c r="C34" s="33">
        <f>VLOOKUP($C$30&amp;"-"&amp;B34,Base!$A:$D,4,FALSE)</f>
        <v>0.32</v>
      </c>
      <c r="D34" s="34">
        <f>C34*$C$31</f>
        <v>112</v>
      </c>
    </row>
    <row r="35" spans="2:4" x14ac:dyDescent="0.2">
      <c r="B35" s="32" t="s">
        <v>19</v>
      </c>
      <c r="C35" s="33">
        <f>VLOOKUP($C$30&amp;"-"&amp;B35,Base!$A:$D,4,FALSE)</f>
        <v>0.35</v>
      </c>
      <c r="D35" s="34">
        <f t="shared" ref="D35:D39" si="2">C35*$C$31</f>
        <v>122.49999999999999</v>
      </c>
    </row>
    <row r="36" spans="2:4" x14ac:dyDescent="0.2">
      <c r="B36" s="32" t="s">
        <v>20</v>
      </c>
      <c r="C36" s="33">
        <f>VLOOKUP($C$30&amp;"-"&amp;B36,Base!$A:$D,4,FALSE)</f>
        <v>0.08</v>
      </c>
      <c r="D36" s="34">
        <f t="shared" si="2"/>
        <v>28</v>
      </c>
    </row>
    <row r="37" spans="2:4" x14ac:dyDescent="0.2">
      <c r="B37" s="32" t="s">
        <v>21</v>
      </c>
      <c r="C37" s="33">
        <f>VLOOKUP($C$30&amp;"-"&amp;B37,Base!$A:$D,4,FALSE)</f>
        <v>0.05</v>
      </c>
      <c r="D37" s="34">
        <f t="shared" si="2"/>
        <v>17.5</v>
      </c>
    </row>
    <row r="38" spans="2:4" x14ac:dyDescent="0.2">
      <c r="B38" s="32" t="s">
        <v>22</v>
      </c>
      <c r="C38" s="33">
        <f>VLOOKUP($C$30&amp;"-"&amp;B38,Base!$A:$D,4,FALSE)</f>
        <v>0.1</v>
      </c>
      <c r="D38" s="34">
        <f t="shared" si="2"/>
        <v>35</v>
      </c>
    </row>
    <row r="39" spans="2:4" x14ac:dyDescent="0.2">
      <c r="B39" s="32" t="s">
        <v>23</v>
      </c>
      <c r="C39" s="33">
        <f>VLOOKUP($C$30&amp;"-"&amp;B39,Base!$A:$D,4,FALSE)</f>
        <v>0.1</v>
      </c>
      <c r="D39" s="34">
        <f t="shared" si="2"/>
        <v>35</v>
      </c>
    </row>
    <row r="40" spans="2:4" x14ac:dyDescent="0.2">
      <c r="B40" s="35"/>
      <c r="C40" s="35"/>
      <c r="D40" s="36">
        <f>SUM(D34:D39)</f>
        <v>350</v>
      </c>
    </row>
  </sheetData>
  <mergeCells count="3">
    <mergeCell ref="B14:C14"/>
    <mergeCell ref="B22:C22"/>
    <mergeCell ref="F14:G14"/>
  </mergeCells>
  <dataValidations count="1">
    <dataValidation type="list" allowBlank="1" showInputMessage="1" showErrorMessage="1" sqref="C30" xr:uid="{AAB18E6B-BDAA-F944-A5CB-512977FA05AE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66BC-73FA-5A4D-8B28-2B21F35F8AE2}">
  <dimension ref="A2:I21"/>
  <sheetViews>
    <sheetView showGridLines="0" workbookViewId="0">
      <selection sqref="A1:A1048576"/>
    </sheetView>
  </sheetViews>
  <sheetFormatPr baseColWidth="10" defaultRowHeight="16" x14ac:dyDescent="0.2"/>
  <cols>
    <col min="1" max="2" width="29" bestFit="1" customWidth="1"/>
    <col min="3" max="3" width="11.5" bestFit="1" customWidth="1"/>
    <col min="4" max="4" width="17.6640625" bestFit="1" customWidth="1"/>
    <col min="5" max="5" width="4.6640625" bestFit="1" customWidth="1"/>
    <col min="8" max="8" width="15.5" bestFit="1" customWidth="1"/>
    <col min="9" max="9" width="4.83203125" bestFit="1" customWidth="1"/>
  </cols>
  <sheetData>
    <row r="2" spans="1:9" x14ac:dyDescent="0.2">
      <c r="A2" s="37" t="s">
        <v>24</v>
      </c>
      <c r="B2" s="37" t="s">
        <v>12</v>
      </c>
      <c r="C2" s="38" t="s">
        <v>15</v>
      </c>
      <c r="D2" s="38" t="s">
        <v>25</v>
      </c>
    </row>
    <row r="3" spans="1:9" x14ac:dyDescent="0.2">
      <c r="A3" t="str">
        <f>B3&amp;"-"&amp;C3</f>
        <v>Conservador-PAPEL</v>
      </c>
      <c r="B3" t="s">
        <v>26</v>
      </c>
      <c r="C3" s="32" t="s">
        <v>18</v>
      </c>
      <c r="D3" s="33">
        <v>0.3</v>
      </c>
      <c r="I3" t="s">
        <v>25</v>
      </c>
    </row>
    <row r="4" spans="1:9" x14ac:dyDescent="0.2">
      <c r="A4" t="str">
        <f t="shared" ref="A4:A20" si="0">B4&amp;"-"&amp;C4</f>
        <v>Conservador-TIJOLO</v>
      </c>
      <c r="B4" t="s">
        <v>26</v>
      </c>
      <c r="C4" s="32" t="s">
        <v>19</v>
      </c>
      <c r="D4" s="33">
        <v>0.5</v>
      </c>
      <c r="H4" s="27" t="s">
        <v>27</v>
      </c>
      <c r="I4" s="39">
        <f>VLOOKUP(H4,$A:$D,4,FALSE)</f>
        <v>0.35</v>
      </c>
    </row>
    <row r="5" spans="1:9" x14ac:dyDescent="0.2">
      <c r="A5" t="str">
        <f t="shared" si="0"/>
        <v>Conservador-HÍBRIDOS</v>
      </c>
      <c r="B5" t="s">
        <v>26</v>
      </c>
      <c r="C5" s="32" t="s">
        <v>20</v>
      </c>
      <c r="D5" s="33">
        <v>0.1</v>
      </c>
    </row>
    <row r="6" spans="1:9" x14ac:dyDescent="0.2">
      <c r="A6" t="str">
        <f t="shared" si="0"/>
        <v>Conservador-FOFs</v>
      </c>
      <c r="B6" t="s">
        <v>26</v>
      </c>
      <c r="C6" s="32" t="s">
        <v>21</v>
      </c>
      <c r="D6" s="33">
        <v>0.1</v>
      </c>
    </row>
    <row r="7" spans="1:9" x14ac:dyDescent="0.2">
      <c r="A7" t="str">
        <f t="shared" si="0"/>
        <v>Conservador-DESENVOLVIMENTO</v>
      </c>
      <c r="B7" t="s">
        <v>26</v>
      </c>
      <c r="C7" s="32" t="s">
        <v>22</v>
      </c>
      <c r="D7" s="33">
        <v>0</v>
      </c>
    </row>
    <row r="8" spans="1:9" ht="17" thickBot="1" x14ac:dyDescent="0.25">
      <c r="A8" s="40" t="str">
        <f t="shared" si="0"/>
        <v>Conservador-HOTELARIAS</v>
      </c>
      <c r="B8" s="40" t="s">
        <v>26</v>
      </c>
      <c r="C8" s="41" t="s">
        <v>23</v>
      </c>
      <c r="D8" s="42">
        <v>0</v>
      </c>
    </row>
    <row r="9" spans="1:9" x14ac:dyDescent="0.2">
      <c r="A9" t="str">
        <f t="shared" si="0"/>
        <v>Moderado-PAPEL</v>
      </c>
      <c r="B9" t="s">
        <v>13</v>
      </c>
      <c r="C9" s="32" t="s">
        <v>18</v>
      </c>
      <c r="D9" s="33">
        <v>0.32</v>
      </c>
    </row>
    <row r="10" spans="1:9" x14ac:dyDescent="0.2">
      <c r="A10" s="43" t="str">
        <f t="shared" si="0"/>
        <v>Moderado-TIJOLO</v>
      </c>
      <c r="B10" s="43" t="s">
        <v>13</v>
      </c>
      <c r="C10" s="44" t="s">
        <v>19</v>
      </c>
      <c r="D10" s="45">
        <v>0.35</v>
      </c>
    </row>
    <row r="11" spans="1:9" x14ac:dyDescent="0.2">
      <c r="A11" t="str">
        <f t="shared" si="0"/>
        <v>Moderado-HÍBRIDOS</v>
      </c>
      <c r="B11" t="s">
        <v>13</v>
      </c>
      <c r="C11" s="32" t="s">
        <v>20</v>
      </c>
      <c r="D11" s="33">
        <v>0.08</v>
      </c>
    </row>
    <row r="12" spans="1:9" x14ac:dyDescent="0.2">
      <c r="A12" t="str">
        <f t="shared" si="0"/>
        <v>Moderado-FOFs</v>
      </c>
      <c r="B12" t="s">
        <v>13</v>
      </c>
      <c r="C12" s="32" t="s">
        <v>21</v>
      </c>
      <c r="D12" s="33">
        <v>0.05</v>
      </c>
    </row>
    <row r="13" spans="1:9" x14ac:dyDescent="0.2">
      <c r="A13" t="str">
        <f t="shared" si="0"/>
        <v>Moderado-DESENVOLVIMENTO</v>
      </c>
      <c r="B13" t="s">
        <v>13</v>
      </c>
      <c r="C13" s="32" t="s">
        <v>22</v>
      </c>
      <c r="D13" s="33">
        <v>0.1</v>
      </c>
    </row>
    <row r="14" spans="1:9" ht="17" thickBot="1" x14ac:dyDescent="0.25">
      <c r="A14" s="40" t="str">
        <f t="shared" si="0"/>
        <v>Moderado-HOTELARIAS</v>
      </c>
      <c r="B14" s="40" t="s">
        <v>13</v>
      </c>
      <c r="C14" s="41" t="s">
        <v>23</v>
      </c>
      <c r="D14" s="42">
        <v>0.1</v>
      </c>
    </row>
    <row r="15" spans="1:9" x14ac:dyDescent="0.2">
      <c r="A15" t="str">
        <f t="shared" si="0"/>
        <v>Agressivo-PAPEL</v>
      </c>
      <c r="B15" t="s">
        <v>28</v>
      </c>
      <c r="C15" s="32" t="s">
        <v>18</v>
      </c>
      <c r="D15" s="33">
        <v>0.5</v>
      </c>
    </row>
    <row r="16" spans="1:9" x14ac:dyDescent="0.2">
      <c r="A16" t="str">
        <f t="shared" si="0"/>
        <v>Agressivo-TIJOLO</v>
      </c>
      <c r="B16" t="s">
        <v>28</v>
      </c>
      <c r="C16" s="32" t="s">
        <v>19</v>
      </c>
      <c r="D16" s="33">
        <v>0.1</v>
      </c>
    </row>
    <row r="17" spans="1:5" x14ac:dyDescent="0.2">
      <c r="A17" t="str">
        <f t="shared" si="0"/>
        <v>Agressivo-HÍBRIDOS</v>
      </c>
      <c r="B17" t="s">
        <v>28</v>
      </c>
      <c r="C17" s="32" t="s">
        <v>20</v>
      </c>
      <c r="D17" s="33">
        <v>0.05</v>
      </c>
    </row>
    <row r="18" spans="1:5" x14ac:dyDescent="0.2">
      <c r="A18" t="str">
        <f t="shared" si="0"/>
        <v>Agressivo-FOFs</v>
      </c>
      <c r="B18" t="s">
        <v>28</v>
      </c>
      <c r="C18" s="32" t="s">
        <v>21</v>
      </c>
      <c r="D18" s="33">
        <v>0.05</v>
      </c>
    </row>
    <row r="19" spans="1:5" x14ac:dyDescent="0.2">
      <c r="A19" t="str">
        <f t="shared" si="0"/>
        <v>Agressivo-DESENVOLVIMENTO</v>
      </c>
      <c r="B19" t="s">
        <v>28</v>
      </c>
      <c r="C19" s="32" t="s">
        <v>22</v>
      </c>
      <c r="D19" s="33">
        <v>0.2</v>
      </c>
    </row>
    <row r="20" spans="1:5" x14ac:dyDescent="0.2">
      <c r="A20" t="str">
        <f t="shared" si="0"/>
        <v>Agressivo-HOTELARIAS</v>
      </c>
      <c r="B20" t="s">
        <v>28</v>
      </c>
      <c r="C20" s="32" t="s">
        <v>23</v>
      </c>
      <c r="D20" s="33">
        <v>0.1</v>
      </c>
    </row>
    <row r="21" spans="1:5" x14ac:dyDescent="0.2">
      <c r="E21" s="3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App</vt:lpstr>
      <vt:lpstr>Base</vt:lpstr>
      <vt:lpstr>aporte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DO COUTO SILVA</dc:creator>
  <cp:lastModifiedBy>AMANDA DO COUTO SILVA</cp:lastModifiedBy>
  <dcterms:created xsi:type="dcterms:W3CDTF">2026-01-05T12:34:34Z</dcterms:created>
  <dcterms:modified xsi:type="dcterms:W3CDTF">2026-01-06T18:39:47Z</dcterms:modified>
</cp:coreProperties>
</file>